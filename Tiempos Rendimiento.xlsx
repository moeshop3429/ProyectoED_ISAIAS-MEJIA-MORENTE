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estructura de datos I\"/>
    </mc:Choice>
  </mc:AlternateContent>
  <xr:revisionPtr revIDLastSave="0" documentId="13_ncr:1_{C7E2847A-6F20-40CC-BB56-6A72926A4B39}" xr6:coauthVersionLast="47" xr6:coauthVersionMax="47" xr10:uidLastSave="{00000000-0000-0000-0000-000000000000}"/>
  <bookViews>
    <workbookView xWindow="-120" yWindow="-120" windowWidth="29040" windowHeight="15840" tabRatio="500" firstSheet="1" activeTab="6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2" i="2" l="1"/>
  <c r="J49" i="2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D5" i="4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<sst xmlns="http://schemas.openxmlformats.org/spreadsheetml/2006/main" count="201" uniqueCount="67">
  <si>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</si>
  <si>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</si>
  <si>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</si>
  <si>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</si>
  <si>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</si>
  <si>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</si>
  <si>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</si>
  <si>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</si>
  <si>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</si>
  <si>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</si>
  <si>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</si>
  <si>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</si>
  <si>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</si>
  <si>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</si>
  <si>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</si>
  <si>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</si>
  <si>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</si>
  <si>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</si>
  <si>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</si>
  <si>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</si>
  <si>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</si>
  <si>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</si>
  <si>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</si>
  <si>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</si>
  <si>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</si>
  <si>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</si>
  <si>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</si>
  <si>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</si>
  <si>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</si>
  <si>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</si>
  <si>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</si>
  <si>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</si>
  <si>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</si>
  <si>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</si>
  <si>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</si>
  <si>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</si>
  <si>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</si>
  <si>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</si>
  <si>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</si>
  <si>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</si>
  <si>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</si>
  <si>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</si>
  <si>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</si>
  <si>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</si>
  <si>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</si>
  <si>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</si>
  <si>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</si>
  <si>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</si>
  <si>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</si>
  <si>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</si>
  <si>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</si>
  <si>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</si>
  <si>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</si>
  <si>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</si>
  <si>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</si>
  <si>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(escribe aqui)</t>
  </si>
  <si>
    <t>Si / No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</si>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</sst>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0.54268000000000005</c:v>
                </c:pt>
                <c:pt idx="1">
                  <c:v>1.5399999999999999E-3</c:v>
                </c:pt>
                <c:pt idx="2">
                  <c:v>1.7000000000000001E-3</c:v>
                </c:pt>
                <c:pt idx="3">
                  <c:v>5.8200000000000005E-3</c:v>
                </c:pt>
                <c:pt idx="4">
                  <c:v>1.9400000000000001E-3</c:v>
                </c:pt>
                <c:pt idx="5">
                  <c:v>1.8599999999999999E-3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7.3399999999999993E-3</c:v>
                </c:pt>
                <c:pt idx="1">
                  <c:v>1.6799999999999999E-3</c:v>
                </c:pt>
                <c:pt idx="2">
                  <c:v>1.72E-3</c:v>
                </c:pt>
                <c:pt idx="3">
                  <c:v>1.7600000000000001E-3</c:v>
                </c:pt>
                <c:pt idx="4">
                  <c:v>3.1200000000000004E-3</c:v>
                </c:pt>
                <c:pt idx="5">
                  <c:v>2.0799999999999998E-3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0.74132000000000009</c:v>
                </c:pt>
                <c:pt idx="1">
                  <c:v>1.5E-3</c:v>
                </c:pt>
                <c:pt idx="2">
                  <c:v>1.7000000000000001E-3</c:v>
                </c:pt>
                <c:pt idx="3">
                  <c:v>1.7799999999999999E-3</c:v>
                </c:pt>
                <c:pt idx="4">
                  <c:v>1.7399999999999998E-3</c:v>
                </c:pt>
                <c:pt idx="5">
                  <c:v>2.1000000000000003E-3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4.8800000000000007E-3</c:v>
                </c:pt>
                <c:pt idx="1">
                  <c:v>1.1299999999999999E-2</c:v>
                </c:pt>
                <c:pt idx="2">
                  <c:v>0.24626000000000001</c:v>
                </c:pt>
                <c:pt idx="3">
                  <c:v>0.16481999999999999</c:v>
                </c:pt>
                <c:pt idx="4">
                  <c:v>0.44939999999999997</c:v>
                </c:pt>
                <c:pt idx="5">
                  <c:v>4.6185400000000003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0.68946000000000007</c:v>
                </c:pt>
                <c:pt idx="1">
                  <c:v>7.9399999999999991E-3</c:v>
                </c:pt>
                <c:pt idx="2">
                  <c:v>1.4500000000000002E-2</c:v>
                </c:pt>
                <c:pt idx="3">
                  <c:v>1.2559999999999998E-2</c:v>
                </c:pt>
                <c:pt idx="4">
                  <c:v>7.4980000000000005E-2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8.0400000000000003E-3</c:v>
                </c:pt>
                <c:pt idx="1">
                  <c:v>0.16763999999999998</c:v>
                </c:pt>
                <c:pt idx="2">
                  <c:v>7.4899999999999994E-2</c:v>
                </c:pt>
                <c:pt idx="3">
                  <c:v>5.058E-2</c:v>
                </c:pt>
                <c:pt idx="4">
                  <c:v>0.1113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0.78235999999999994</c:v>
                </c:pt>
                <c:pt idx="1">
                  <c:v>2.8539000000000003</c:v>
                </c:pt>
                <c:pt idx="2">
                  <c:v>1.9471399999999999</c:v>
                </c:pt>
                <c:pt idx="3">
                  <c:v>33.553600000000003</c:v>
                </c:pt>
                <c:pt idx="4">
                  <c:v>132.28213999999997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0.26170000000000004</c:v>
                </c:pt>
                <c:pt idx="1">
                  <c:v>1.2109000000000001</c:v>
                </c:pt>
                <c:pt idx="2">
                  <c:v>3.8962600000000003</c:v>
                </c:pt>
                <c:pt idx="3">
                  <c:v>59.010019999999997</c:v>
                </c:pt>
                <c:pt idx="4">
                  <c:v>132.97669999999999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8" zoomScaleNormal="100" workbookViewId="0">
      <selection activeCell="C5" sqref="C5:D5"/>
    </sheetView>
  </sheetViews>
  <sheetFormatPr baseColWidth="10" defaultColWidth="8.7109375" defaultRowHeight="15" customHeight="1" x14ac:dyDescent="0.25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5"/>
    <row r="2" spans="2:4" ht="36" customHeight="1" x14ac:dyDescent="0.25">
      <c r="B2" s="33" t="s">
        <v>0</v>
      </c>
      <c r="C2" s="33"/>
      <c r="D2" s="33"/>
    </row>
    <row r="3" spans="2:4" ht="21.75" customHeight="1" x14ac:dyDescent="0.25">
      <c r="B3" s="34" t="s">
        <v>1</v>
      </c>
      <c r="C3" s="34"/>
      <c r="D3" s="34"/>
    </row>
    <row r="4" spans="2:4" ht="9.75" customHeight="1" x14ac:dyDescent="0.25"/>
    <row r="5" spans="2:4" ht="70.5" customHeight="1" x14ac:dyDescent="0.25">
      <c r="B5" s="35" t="s">
        <v>2</v>
      </c>
      <c r="C5" s="36" t="s">
        <v>3</v>
      </c>
      <c r="D5" s="36"/>
    </row>
    <row r="6" spans="2:4" ht="60" customHeight="1" x14ac:dyDescent="0.25">
      <c r="B6" s="35"/>
    </row>
    <row r="7" spans="2:4" ht="6" customHeight="1" x14ac:dyDescent="0.25"/>
    <row r="8" spans="2:4" ht="78.75" customHeight="1" x14ac:dyDescent="0.25">
      <c r="B8" s="35" t="s">
        <v>4</v>
      </c>
      <c r="C8" s="37" t="s">
        <v>5</v>
      </c>
      <c r="D8" s="37"/>
    </row>
    <row r="9" spans="2:4" ht="117.75" customHeight="1" x14ac:dyDescent="0.25">
      <c r="B9" s="35"/>
      <c r="C9" s="38"/>
      <c r="D9" s="38"/>
    </row>
    <row r="10" spans="2:4" ht="6" customHeight="1" x14ac:dyDescent="0.25"/>
    <row r="11" spans="2:4" ht="79.5" customHeight="1" x14ac:dyDescent="0.25">
      <c r="B11" s="35" t="s">
        <v>6</v>
      </c>
      <c r="C11" s="37" t="s">
        <v>7</v>
      </c>
      <c r="D11" s="37"/>
    </row>
    <row r="12" spans="2:4" ht="81.75" customHeight="1" x14ac:dyDescent="0.25">
      <c r="B12" s="35"/>
      <c r="C12" s="38"/>
      <c r="D12" s="38"/>
    </row>
    <row r="13" spans="2:4" ht="6" customHeight="1" x14ac:dyDescent="0.25"/>
    <row r="14" spans="2:4" ht="75.75" customHeight="1" x14ac:dyDescent="0.25">
      <c r="B14" s="35" t="s">
        <v>8</v>
      </c>
      <c r="C14" s="39" t="s">
        <v>9</v>
      </c>
      <c r="D14" s="39"/>
    </row>
    <row r="15" spans="2:4" ht="99.75" customHeight="1" x14ac:dyDescent="0.25">
      <c r="B15" s="35"/>
      <c r="C15" s="38"/>
      <c r="D15" s="38"/>
    </row>
    <row r="16" spans="2:4" ht="6" customHeight="1" x14ac:dyDescent="0.25"/>
    <row r="17" spans="2:4" ht="64.5" customHeight="1" x14ac:dyDescent="0.25">
      <c r="B17" s="35" t="s">
        <v>10</v>
      </c>
      <c r="C17" s="36" t="s">
        <v>11</v>
      </c>
      <c r="D17" s="36"/>
    </row>
    <row r="18" spans="2:4" ht="99.75" customHeight="1" x14ac:dyDescent="0.25">
      <c r="B18" s="35"/>
      <c r="C18" s="38"/>
      <c r="D18" s="38"/>
    </row>
    <row r="19" spans="2:4" ht="6" customHeight="1" x14ac:dyDescent="0.25"/>
    <row r="20" spans="2:4" ht="78" customHeight="1" x14ac:dyDescent="0.25">
      <c r="B20" s="35" t="s">
        <v>12</v>
      </c>
      <c r="C20" s="37" t="s">
        <v>13</v>
      </c>
      <c r="D20" s="37"/>
    </row>
    <row r="21" spans="2:4" ht="81.75" customHeight="1" x14ac:dyDescent="0.25">
      <c r="B21" s="35"/>
      <c r="C21" s="38"/>
      <c r="D21" s="38"/>
    </row>
    <row r="22" spans="2:4" ht="6" customHeight="1" x14ac:dyDescent="0.25"/>
  </sheetData>
  <mergeCells count="19"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  <mergeCell ref="B2:D2"/>
    <mergeCell ref="B3:D3"/>
    <mergeCell ref="B5:B6"/>
    <mergeCell ref="C5:D5"/>
    <mergeCell ref="B8:B9"/>
    <mergeCell ref="C8:D8"/>
    <mergeCell ref="C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Normal="100" workbookViewId="0">
      <pane ySplit="2" topLeftCell="A33" activePane="bottomLeft" state="frozen"/>
      <selection pane="bottomLeft" activeCell="I49" sqref="I49"/>
    </sheetView>
  </sheetViews>
  <sheetFormatPr baseColWidth="10" defaultColWidth="8.7109375" defaultRowHeight="15" customHeight="1" x14ac:dyDescent="0.25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5">
      <c r="B1" s="31" t="s">
        <v>14</v>
      </c>
      <c r="C1" s="31"/>
      <c r="D1" s="31"/>
      <c r="E1" s="31"/>
      <c r="F1" s="31"/>
      <c r="G1" s="31"/>
      <c r="H1" s="31"/>
      <c r="I1" s="31"/>
    </row>
    <row r="2" spans="2:10" ht="36" customHeight="1" x14ac:dyDescent="0.2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5">
      <c r="B3" s="3" t="s">
        <v>24</v>
      </c>
      <c r="C3" s="4" t="s">
        <v>25</v>
      </c>
      <c r="D3" s="5">
        <v>5</v>
      </c>
      <c r="E3" s="6">
        <v>0.55049999999999999</v>
      </c>
      <c r="F3" s="6">
        <v>0.48649999999999999</v>
      </c>
      <c r="G3" s="6">
        <v>0.69159999999999999</v>
      </c>
      <c r="H3" s="6">
        <v>0.46710000000000002</v>
      </c>
      <c r="I3" s="6">
        <v>0.51770000000000005</v>
      </c>
      <c r="J3" s="7">
        <f t="shared" ref="J3:J14" si="0">AVERAGE(E3:I3)</f>
        <v>0.54268000000000005</v>
      </c>
    </row>
    <row r="4" spans="2:10" ht="18" customHeight="1" x14ac:dyDescent="0.25">
      <c r="B4" s="3" t="s">
        <v>24</v>
      </c>
      <c r="C4" s="4" t="s">
        <v>25</v>
      </c>
      <c r="D4" s="5">
        <v>10</v>
      </c>
      <c r="E4" s="6">
        <v>1.2999999999999999E-3</v>
      </c>
      <c r="F4" s="6">
        <v>1.1999999999999999E-3</v>
      </c>
      <c r="G4" s="6">
        <v>1.9E-3</v>
      </c>
      <c r="H4" s="6">
        <v>1.2999999999999999E-3</v>
      </c>
      <c r="I4" s="6">
        <v>2E-3</v>
      </c>
      <c r="J4" s="7">
        <f t="shared" si="0"/>
        <v>1.5399999999999999E-3</v>
      </c>
    </row>
    <row r="5" spans="2:10" ht="18" customHeight="1" x14ac:dyDescent="0.25">
      <c r="B5" s="3" t="s">
        <v>24</v>
      </c>
      <c r="C5" s="4" t="s">
        <v>25</v>
      </c>
      <c r="D5" s="5">
        <v>15</v>
      </c>
      <c r="E5" s="6">
        <v>1.6999999999999999E-3</v>
      </c>
      <c r="F5" s="6">
        <v>1.5E-3</v>
      </c>
      <c r="G5" s="6">
        <v>1.1999999999999999E-3</v>
      </c>
      <c r="H5" s="6">
        <v>2.5000000000000001E-3</v>
      </c>
      <c r="I5" s="6">
        <v>1.6000000000000001E-3</v>
      </c>
      <c r="J5" s="7">
        <f t="shared" si="0"/>
        <v>1.7000000000000001E-3</v>
      </c>
    </row>
    <row r="6" spans="2:10" ht="18" customHeight="1" x14ac:dyDescent="0.25">
      <c r="B6" s="3" t="s">
        <v>24</v>
      </c>
      <c r="C6" s="4" t="s">
        <v>25</v>
      </c>
      <c r="D6" s="5">
        <v>20</v>
      </c>
      <c r="E6" s="6">
        <v>1.8E-3</v>
      </c>
      <c r="F6" s="6">
        <v>8.8999999999999999E-3</v>
      </c>
      <c r="G6" s="6">
        <v>1.2999999999999999E-3</v>
      </c>
      <c r="H6" s="6">
        <v>1.4999999999999999E-2</v>
      </c>
      <c r="I6" s="6">
        <v>2.0999999999999999E-3</v>
      </c>
      <c r="J6" s="7">
        <f t="shared" si="0"/>
        <v>5.8200000000000005E-3</v>
      </c>
    </row>
    <row r="7" spans="2:10" ht="18" customHeight="1" x14ac:dyDescent="0.25">
      <c r="B7" s="3" t="s">
        <v>24</v>
      </c>
      <c r="C7" s="4" t="s">
        <v>25</v>
      </c>
      <c r="D7" s="5">
        <v>25</v>
      </c>
      <c r="E7" s="6">
        <v>1.6999999999999999E-3</v>
      </c>
      <c r="F7" s="6">
        <v>2.3E-3</v>
      </c>
      <c r="G7" s="6">
        <v>1.6999999999999999E-3</v>
      </c>
      <c r="H7" s="6">
        <v>1.5E-3</v>
      </c>
      <c r="I7" s="6">
        <v>2.5000000000000001E-3</v>
      </c>
      <c r="J7" s="7">
        <f t="shared" si="0"/>
        <v>1.9400000000000001E-3</v>
      </c>
    </row>
    <row r="8" spans="2:10" ht="18" customHeight="1" x14ac:dyDescent="0.25">
      <c r="B8" s="3" t="s">
        <v>24</v>
      </c>
      <c r="C8" s="4" t="s">
        <v>25</v>
      </c>
      <c r="D8" s="5">
        <v>30</v>
      </c>
      <c r="E8" s="6">
        <v>1.6000000000000001E-3</v>
      </c>
      <c r="F8" s="6">
        <v>1.8E-3</v>
      </c>
      <c r="G8" s="6">
        <v>1.8E-3</v>
      </c>
      <c r="H8" s="6">
        <v>2.3999999999999998E-3</v>
      </c>
      <c r="I8" s="6">
        <v>1.6999999999999999E-3</v>
      </c>
      <c r="J8" s="7">
        <f t="shared" si="0"/>
        <v>1.8599999999999999E-3</v>
      </c>
    </row>
    <row r="9" spans="2:10" ht="18" customHeight="1" x14ac:dyDescent="0.25">
      <c r="B9" s="8" t="s">
        <v>24</v>
      </c>
      <c r="C9" s="9" t="s">
        <v>26</v>
      </c>
      <c r="D9" s="10">
        <v>5</v>
      </c>
      <c r="E9" s="6">
        <v>4.4999999999999997E-3</v>
      </c>
      <c r="F9" s="6">
        <v>5.3E-3</v>
      </c>
      <c r="G9" s="6">
        <v>4.4000000000000003E-3</v>
      </c>
      <c r="H9" s="6">
        <v>5.7000000000000002E-3</v>
      </c>
      <c r="I9" s="6">
        <v>1.6799999999999999E-2</v>
      </c>
      <c r="J9" s="7">
        <f t="shared" si="0"/>
        <v>7.3399999999999993E-3</v>
      </c>
    </row>
    <row r="10" spans="2:10" ht="18" customHeight="1" x14ac:dyDescent="0.25">
      <c r="B10" s="8" t="s">
        <v>24</v>
      </c>
      <c r="C10" s="9" t="s">
        <v>26</v>
      </c>
      <c r="D10" s="10">
        <v>10</v>
      </c>
      <c r="E10" s="6">
        <v>1.6999999999999999E-3</v>
      </c>
      <c r="F10" s="6">
        <v>1.6000000000000001E-3</v>
      </c>
      <c r="G10" s="6">
        <v>1.8E-3</v>
      </c>
      <c r="H10" s="6">
        <v>1.5E-3</v>
      </c>
      <c r="I10" s="6">
        <v>1.8E-3</v>
      </c>
      <c r="J10" s="7">
        <f t="shared" si="0"/>
        <v>1.6799999999999999E-3</v>
      </c>
    </row>
    <row r="11" spans="2:10" ht="18" customHeight="1" x14ac:dyDescent="0.25">
      <c r="B11" s="8" t="s">
        <v>24</v>
      </c>
      <c r="C11" s="9" t="s">
        <v>26</v>
      </c>
      <c r="D11" s="10">
        <v>15</v>
      </c>
      <c r="E11" s="6">
        <v>1.6999999999999999E-3</v>
      </c>
      <c r="F11" s="6">
        <v>1.6000000000000001E-3</v>
      </c>
      <c r="G11" s="6">
        <v>1.4E-3</v>
      </c>
      <c r="H11" s="6">
        <v>1.8E-3</v>
      </c>
      <c r="I11" s="6">
        <v>2.0999999999999999E-3</v>
      </c>
      <c r="J11" s="7">
        <f t="shared" si="0"/>
        <v>1.72E-3</v>
      </c>
    </row>
    <row r="12" spans="2:10" ht="18" customHeight="1" x14ac:dyDescent="0.25">
      <c r="B12" s="8" t="s">
        <v>24</v>
      </c>
      <c r="C12" s="9" t="s">
        <v>26</v>
      </c>
      <c r="D12" s="10">
        <v>20</v>
      </c>
      <c r="E12" s="6">
        <v>1.4E-3</v>
      </c>
      <c r="F12" s="6">
        <v>2.2000000000000001E-3</v>
      </c>
      <c r="G12" s="6">
        <v>1.8E-3</v>
      </c>
      <c r="H12" s="6">
        <v>1.6999999999999999E-3</v>
      </c>
      <c r="I12" s="6">
        <v>1.6999999999999999E-3</v>
      </c>
      <c r="J12" s="7">
        <f t="shared" si="0"/>
        <v>1.7600000000000001E-3</v>
      </c>
    </row>
    <row r="13" spans="2:10" ht="18" customHeight="1" x14ac:dyDescent="0.25">
      <c r="B13" s="8" t="s">
        <v>24</v>
      </c>
      <c r="C13" s="9" t="s">
        <v>26</v>
      </c>
      <c r="D13" s="10">
        <v>25</v>
      </c>
      <c r="E13" s="6">
        <v>7.4000000000000003E-3</v>
      </c>
      <c r="F13" s="6">
        <v>1.9E-3</v>
      </c>
      <c r="G13" s="6">
        <v>1.6999999999999999E-3</v>
      </c>
      <c r="H13" s="6">
        <v>2.3E-3</v>
      </c>
      <c r="I13" s="6">
        <v>2.3E-3</v>
      </c>
      <c r="J13" s="7">
        <f t="shared" si="0"/>
        <v>3.1200000000000004E-3</v>
      </c>
    </row>
    <row r="14" spans="2:10" ht="18" customHeight="1" x14ac:dyDescent="0.25">
      <c r="B14" s="8" t="s">
        <v>24</v>
      </c>
      <c r="C14" s="9" t="s">
        <v>26</v>
      </c>
      <c r="D14" s="10">
        <v>30</v>
      </c>
      <c r="E14" s="6">
        <v>2.0999999999999999E-3</v>
      </c>
      <c r="F14" s="6">
        <v>2E-3</v>
      </c>
      <c r="G14" s="6">
        <v>1.8E-3</v>
      </c>
      <c r="H14" s="6">
        <v>2.5000000000000001E-3</v>
      </c>
      <c r="I14" s="6">
        <v>2E-3</v>
      </c>
      <c r="J14" s="7">
        <f t="shared" si="0"/>
        <v>2.0799999999999998E-3</v>
      </c>
    </row>
    <row r="16" spans="2:10" ht="18" customHeight="1" x14ac:dyDescent="0.25">
      <c r="B16" s="3" t="s">
        <v>27</v>
      </c>
      <c r="C16" s="4" t="s">
        <v>25</v>
      </c>
      <c r="D16" s="5">
        <v>5</v>
      </c>
      <c r="E16" s="6">
        <v>0.59079999999999999</v>
      </c>
      <c r="F16" s="6">
        <v>1.0298</v>
      </c>
      <c r="G16" s="6">
        <v>0.75019999999999998</v>
      </c>
      <c r="H16" s="6">
        <v>0.68510000000000004</v>
      </c>
      <c r="I16" s="6">
        <v>0.65069999999999995</v>
      </c>
      <c r="J16" s="7">
        <f t="shared" ref="J16:J27" si="1">AVERAGE(E16:I16)</f>
        <v>0.74132000000000009</v>
      </c>
    </row>
    <row r="17" spans="2:10" ht="18" customHeight="1" x14ac:dyDescent="0.25">
      <c r="B17" s="3" t="s">
        <v>27</v>
      </c>
      <c r="C17" s="4" t="s">
        <v>25</v>
      </c>
      <c r="D17" s="5">
        <v>10</v>
      </c>
      <c r="E17" s="6">
        <v>1.6000000000000001E-3</v>
      </c>
      <c r="F17" s="6">
        <v>1.2999999999999999E-3</v>
      </c>
      <c r="G17" s="6">
        <v>1.2999999999999999E-3</v>
      </c>
      <c r="H17" s="6">
        <v>1.5E-3</v>
      </c>
      <c r="I17" s="6">
        <v>1.8E-3</v>
      </c>
      <c r="J17" s="7">
        <f t="shared" si="1"/>
        <v>1.5E-3</v>
      </c>
    </row>
    <row r="18" spans="2:10" ht="18" customHeight="1" x14ac:dyDescent="0.25">
      <c r="B18" s="3" t="s">
        <v>27</v>
      </c>
      <c r="C18" s="4" t="s">
        <v>25</v>
      </c>
      <c r="D18" s="5">
        <v>15</v>
      </c>
      <c r="E18" s="6">
        <v>1.4E-3</v>
      </c>
      <c r="F18" s="6">
        <v>2.5999999999999999E-3</v>
      </c>
      <c r="G18" s="6">
        <v>1.8E-3</v>
      </c>
      <c r="H18" s="6">
        <v>1.4E-3</v>
      </c>
      <c r="I18" s="6">
        <v>1.2999999999999999E-3</v>
      </c>
      <c r="J18" s="7">
        <f t="shared" si="1"/>
        <v>1.7000000000000001E-3</v>
      </c>
    </row>
    <row r="19" spans="2:10" ht="18" customHeight="1" x14ac:dyDescent="0.25">
      <c r="B19" s="3" t="s">
        <v>27</v>
      </c>
      <c r="C19" s="4" t="s">
        <v>25</v>
      </c>
      <c r="D19" s="5">
        <v>20</v>
      </c>
      <c r="E19" s="6">
        <v>2.2000000000000001E-3</v>
      </c>
      <c r="F19" s="6">
        <v>1.8E-3</v>
      </c>
      <c r="G19" s="6">
        <v>1.5E-3</v>
      </c>
      <c r="H19" s="6">
        <v>1.6000000000000001E-3</v>
      </c>
      <c r="I19" s="6">
        <v>1.8E-3</v>
      </c>
      <c r="J19" s="7">
        <f t="shared" si="1"/>
        <v>1.7799999999999999E-3</v>
      </c>
    </row>
    <row r="20" spans="2:10" ht="18" customHeight="1" x14ac:dyDescent="0.25">
      <c r="B20" s="3" t="s">
        <v>27</v>
      </c>
      <c r="C20" s="4" t="s">
        <v>25</v>
      </c>
      <c r="D20" s="5">
        <v>25</v>
      </c>
      <c r="E20" s="6">
        <v>1.8E-3</v>
      </c>
      <c r="F20" s="6">
        <v>1.9E-3</v>
      </c>
      <c r="G20" s="6">
        <v>1.8E-3</v>
      </c>
      <c r="H20" s="6">
        <v>1.6000000000000001E-3</v>
      </c>
      <c r="I20" s="6">
        <v>1.6000000000000001E-3</v>
      </c>
      <c r="J20" s="7">
        <f t="shared" si="1"/>
        <v>1.7399999999999998E-3</v>
      </c>
    </row>
    <row r="21" spans="2:10" ht="18" customHeight="1" x14ac:dyDescent="0.25">
      <c r="B21" s="3" t="s">
        <v>27</v>
      </c>
      <c r="C21" s="4" t="s">
        <v>25</v>
      </c>
      <c r="D21" s="5">
        <v>30</v>
      </c>
      <c r="E21" s="6">
        <v>1.8E-3</v>
      </c>
      <c r="F21" s="6">
        <v>2.8999999999999998E-3</v>
      </c>
      <c r="G21" s="6">
        <v>2.2000000000000001E-3</v>
      </c>
      <c r="H21" s="6">
        <v>1.6999999999999999E-3</v>
      </c>
      <c r="I21" s="6">
        <v>1.9E-3</v>
      </c>
      <c r="J21" s="7">
        <f t="shared" si="1"/>
        <v>2.1000000000000003E-3</v>
      </c>
    </row>
    <row r="22" spans="2:10" ht="18" customHeight="1" x14ac:dyDescent="0.25">
      <c r="B22" s="8" t="s">
        <v>27</v>
      </c>
      <c r="C22" s="9" t="s">
        <v>26</v>
      </c>
      <c r="D22" s="10">
        <v>5</v>
      </c>
      <c r="E22" s="6">
        <v>4.7999999999999996E-3</v>
      </c>
      <c r="F22" s="6">
        <v>4.7999999999999996E-3</v>
      </c>
      <c r="G22" s="6">
        <v>5.8999999999999999E-3</v>
      </c>
      <c r="H22" s="6">
        <v>4.4000000000000003E-3</v>
      </c>
      <c r="I22" s="6">
        <v>4.4999999999999997E-3</v>
      </c>
      <c r="J22" s="7">
        <f>AVERAGE(E22:I22)</f>
        <v>4.8800000000000007E-3</v>
      </c>
    </row>
    <row r="23" spans="2:10" ht="18" customHeight="1" x14ac:dyDescent="0.25">
      <c r="B23" s="8" t="s">
        <v>27</v>
      </c>
      <c r="C23" s="9" t="s">
        <v>26</v>
      </c>
      <c r="D23" s="10">
        <v>10</v>
      </c>
      <c r="E23" s="6">
        <v>8.3000000000000001E-3</v>
      </c>
      <c r="F23" s="6">
        <v>2.0199999999999999E-2</v>
      </c>
      <c r="G23" s="6">
        <v>1.11E-2</v>
      </c>
      <c r="H23" s="6">
        <v>7.7999999999999996E-3</v>
      </c>
      <c r="I23" s="6">
        <v>9.1000000000000004E-3</v>
      </c>
      <c r="J23" s="7">
        <f t="shared" si="1"/>
        <v>1.1299999999999999E-2</v>
      </c>
    </row>
    <row r="24" spans="2:10" ht="18" customHeight="1" x14ac:dyDescent="0.25">
      <c r="B24" s="8" t="s">
        <v>27</v>
      </c>
      <c r="C24" s="9" t="s">
        <v>26</v>
      </c>
      <c r="D24" s="10">
        <v>15</v>
      </c>
      <c r="E24" s="6">
        <v>0.1691</v>
      </c>
      <c r="F24" s="6">
        <v>0.14630000000000001</v>
      </c>
      <c r="G24" s="6">
        <v>0.15579999999999999</v>
      </c>
      <c r="H24" s="6">
        <v>0.16980000000000001</v>
      </c>
      <c r="I24" s="6">
        <v>0.59030000000000005</v>
      </c>
      <c r="J24" s="7">
        <f t="shared" si="1"/>
        <v>0.24626000000000001</v>
      </c>
    </row>
    <row r="25" spans="2:10" ht="18" customHeight="1" x14ac:dyDescent="0.25">
      <c r="B25" s="8" t="s">
        <v>27</v>
      </c>
      <c r="C25" s="9" t="s">
        <v>26</v>
      </c>
      <c r="D25" s="10">
        <v>20</v>
      </c>
      <c r="E25" s="6">
        <v>0.18099999999999999</v>
      </c>
      <c r="F25" s="6">
        <v>0.1244</v>
      </c>
      <c r="G25" s="6">
        <v>0.19209999999999999</v>
      </c>
      <c r="H25" s="6">
        <v>0.15190000000000001</v>
      </c>
      <c r="I25" s="6">
        <v>0.17469999999999999</v>
      </c>
      <c r="J25" s="7">
        <f t="shared" si="1"/>
        <v>0.16481999999999999</v>
      </c>
    </row>
    <row r="26" spans="2:10" ht="18" customHeight="1" x14ac:dyDescent="0.25">
      <c r="B26" s="8" t="s">
        <v>27</v>
      </c>
      <c r="C26" s="9" t="s">
        <v>26</v>
      </c>
      <c r="D26" s="10">
        <v>25</v>
      </c>
      <c r="E26" s="6">
        <v>0.40739999999999998</v>
      </c>
      <c r="F26" s="6">
        <v>0.44090000000000001</v>
      </c>
      <c r="G26" s="6">
        <v>0.46639999999999998</v>
      </c>
      <c r="H26" s="6">
        <v>0.45729999999999998</v>
      </c>
      <c r="I26" s="6">
        <v>0.47499999999999998</v>
      </c>
      <c r="J26" s="7">
        <f t="shared" si="1"/>
        <v>0.44939999999999997</v>
      </c>
    </row>
    <row r="27" spans="2:10" ht="18" customHeight="1" x14ac:dyDescent="0.25">
      <c r="B27" s="8" t="s">
        <v>27</v>
      </c>
      <c r="C27" s="9" t="s">
        <v>26</v>
      </c>
      <c r="D27" s="10">
        <v>30</v>
      </c>
      <c r="E27" s="6">
        <v>5.6608999999999998</v>
      </c>
      <c r="F27" s="6">
        <v>4.5275999999999996</v>
      </c>
      <c r="G27" s="6">
        <v>4.056</v>
      </c>
      <c r="H27" s="6">
        <v>4.1078000000000001</v>
      </c>
      <c r="I27" s="6">
        <v>4.7404000000000002</v>
      </c>
      <c r="J27" s="7">
        <f t="shared" si="1"/>
        <v>4.6185400000000003</v>
      </c>
    </row>
    <row r="29" spans="2:10" ht="18" customHeight="1" x14ac:dyDescent="0.25">
      <c r="B29" s="3" t="s">
        <v>28</v>
      </c>
      <c r="C29" s="4" t="s">
        <v>25</v>
      </c>
      <c r="D29" s="5">
        <v>100</v>
      </c>
      <c r="E29" s="6">
        <v>0.53200000000000003</v>
      </c>
      <c r="F29" s="6">
        <v>0.62019999999999997</v>
      </c>
      <c r="G29" s="6">
        <v>0.97740000000000005</v>
      </c>
      <c r="H29" s="6">
        <v>0.62460000000000004</v>
      </c>
      <c r="I29" s="6">
        <v>0.69310000000000005</v>
      </c>
      <c r="J29" s="7">
        <f t="shared" ref="J29:J38" si="2">AVERAGE(E29:I29)</f>
        <v>0.68946000000000007</v>
      </c>
    </row>
    <row r="30" spans="2:10" ht="18" customHeight="1" x14ac:dyDescent="0.25">
      <c r="B30" s="3" t="s">
        <v>28</v>
      </c>
      <c r="C30" s="4" t="s">
        <v>25</v>
      </c>
      <c r="D30" s="5">
        <v>500</v>
      </c>
      <c r="E30" s="6">
        <v>7.4000000000000003E-3</v>
      </c>
      <c r="F30" s="6">
        <v>7.7000000000000002E-3</v>
      </c>
      <c r="G30" s="6">
        <v>8.6999999999999994E-3</v>
      </c>
      <c r="H30" s="6">
        <v>8.0000000000000002E-3</v>
      </c>
      <c r="I30" s="6">
        <v>7.9000000000000008E-3</v>
      </c>
      <c r="J30" s="7">
        <f t="shared" si="2"/>
        <v>7.9399999999999991E-3</v>
      </c>
    </row>
    <row r="31" spans="2:10" ht="18" customHeight="1" x14ac:dyDescent="0.25">
      <c r="B31" s="3" t="s">
        <v>28</v>
      </c>
      <c r="C31" s="4" t="s">
        <v>25</v>
      </c>
      <c r="D31" s="5">
        <v>1000</v>
      </c>
      <c r="E31" s="6">
        <v>1.04E-2</v>
      </c>
      <c r="F31" s="6">
        <v>1.83E-2</v>
      </c>
      <c r="G31" s="6">
        <v>1.55E-2</v>
      </c>
      <c r="H31" s="6">
        <v>1.3100000000000001E-2</v>
      </c>
      <c r="I31" s="6">
        <v>1.52E-2</v>
      </c>
      <c r="J31" s="7">
        <f t="shared" si="2"/>
        <v>1.4500000000000002E-2</v>
      </c>
    </row>
    <row r="32" spans="2:10" ht="18" customHeight="1" x14ac:dyDescent="0.25">
      <c r="B32" s="3" t="s">
        <v>28</v>
      </c>
      <c r="C32" s="4" t="s">
        <v>25</v>
      </c>
      <c r="D32" s="5">
        <v>5000</v>
      </c>
      <c r="E32" s="6">
        <v>4.7999999999999996E-3</v>
      </c>
      <c r="F32" s="6">
        <v>2.0199999999999999E-2</v>
      </c>
      <c r="G32" s="6">
        <v>2.4799999999999999E-2</v>
      </c>
      <c r="H32" s="6">
        <v>7.4000000000000003E-3</v>
      </c>
      <c r="I32" s="6">
        <v>5.5999999999999999E-3</v>
      </c>
      <c r="J32" s="7">
        <f t="shared" si="2"/>
        <v>1.2559999999999998E-2</v>
      </c>
    </row>
    <row r="33" spans="2:10" ht="18" customHeight="1" x14ac:dyDescent="0.25">
      <c r="B33" s="3" t="s">
        <v>28</v>
      </c>
      <c r="C33" s="4" t="s">
        <v>25</v>
      </c>
      <c r="D33" s="5">
        <v>10000</v>
      </c>
      <c r="E33" s="6">
        <v>4.4999999999999997E-3</v>
      </c>
      <c r="F33" s="6">
        <v>5.9299999999999999E-2</v>
      </c>
      <c r="G33" s="6">
        <v>2.5999999999999999E-3</v>
      </c>
      <c r="H33" s="6">
        <v>1.6500000000000001E-2</v>
      </c>
      <c r="I33" s="6">
        <v>0.29199999999999998</v>
      </c>
      <c r="J33" s="7">
        <f t="shared" si="2"/>
        <v>7.4980000000000005E-2</v>
      </c>
    </row>
    <row r="34" spans="2:10" ht="18" customHeight="1" x14ac:dyDescent="0.25">
      <c r="B34" s="8" t="s">
        <v>28</v>
      </c>
      <c r="C34" s="9" t="s">
        <v>26</v>
      </c>
      <c r="D34" s="10">
        <v>100</v>
      </c>
      <c r="E34" s="6">
        <v>8.0000000000000002E-3</v>
      </c>
      <c r="F34" s="6">
        <v>9.1000000000000004E-3</v>
      </c>
      <c r="G34" s="6">
        <v>8.0999999999999996E-3</v>
      </c>
      <c r="H34" s="6">
        <v>8.8999999999999999E-3</v>
      </c>
      <c r="I34" s="6">
        <v>6.1000000000000004E-3</v>
      </c>
      <c r="J34" s="7">
        <f t="shared" si="2"/>
        <v>8.0400000000000003E-3</v>
      </c>
    </row>
    <row r="35" spans="2:10" ht="18" customHeight="1" x14ac:dyDescent="0.25">
      <c r="B35" s="8" t="s">
        <v>28</v>
      </c>
      <c r="C35" s="9" t="s">
        <v>26</v>
      </c>
      <c r="D35" s="10">
        <v>500</v>
      </c>
      <c r="E35" s="6">
        <v>0.1658</v>
      </c>
      <c r="F35" s="6">
        <v>0.12130000000000001</v>
      </c>
      <c r="G35" s="6">
        <v>0.19089999999999999</v>
      </c>
      <c r="H35" s="6">
        <v>0.3493</v>
      </c>
      <c r="I35" s="6">
        <v>1.09E-2</v>
      </c>
      <c r="J35" s="7">
        <f t="shared" si="2"/>
        <v>0.16763999999999998</v>
      </c>
    </row>
    <row r="36" spans="2:10" ht="18" customHeight="1" x14ac:dyDescent="0.25">
      <c r="B36" s="8" t="s">
        <v>28</v>
      </c>
      <c r="C36" s="9" t="s">
        <v>26</v>
      </c>
      <c r="D36" s="10">
        <v>1000</v>
      </c>
      <c r="E36" s="6">
        <v>4.2999999999999997E-2</v>
      </c>
      <c r="F36" s="6">
        <v>1.4999999999999999E-2</v>
      </c>
      <c r="G36" s="6">
        <v>2.4500000000000001E-2</v>
      </c>
      <c r="H36" s="6">
        <v>2.07E-2</v>
      </c>
      <c r="I36" s="6">
        <v>0.27129999999999999</v>
      </c>
      <c r="J36" s="7">
        <f t="shared" si="2"/>
        <v>7.4899999999999994E-2</v>
      </c>
    </row>
    <row r="37" spans="2:10" ht="18" customHeight="1" x14ac:dyDescent="0.25">
      <c r="B37" s="8" t="s">
        <v>28</v>
      </c>
      <c r="C37" s="9" t="s">
        <v>26</v>
      </c>
      <c r="D37" s="10">
        <v>5000</v>
      </c>
      <c r="E37" s="6">
        <v>1.1000000000000001E-3</v>
      </c>
      <c r="F37" s="6">
        <v>7.6899999999999996E-2</v>
      </c>
      <c r="G37" s="6">
        <v>5.5999999999999999E-3</v>
      </c>
      <c r="H37" s="6">
        <v>2.7000000000000001E-3</v>
      </c>
      <c r="I37" s="6">
        <v>0.1666</v>
      </c>
      <c r="J37" s="7">
        <f t="shared" si="2"/>
        <v>5.058E-2</v>
      </c>
    </row>
    <row r="38" spans="2:10" ht="18" customHeight="1" x14ac:dyDescent="0.25">
      <c r="B38" s="8" t="s">
        <v>28</v>
      </c>
      <c r="C38" s="9" t="s">
        <v>26</v>
      </c>
      <c r="D38" s="10">
        <v>10000</v>
      </c>
      <c r="E38" s="6">
        <v>2.8E-3</v>
      </c>
      <c r="F38" s="6">
        <v>1.29E-2</v>
      </c>
      <c r="G38" s="6">
        <v>0.24460000000000001</v>
      </c>
      <c r="H38" s="6">
        <v>0.23080000000000001</v>
      </c>
      <c r="I38" s="6">
        <v>6.54E-2</v>
      </c>
      <c r="J38" s="7">
        <f t="shared" si="2"/>
        <v>0.1113</v>
      </c>
    </row>
    <row r="40" spans="2:10" ht="18" customHeight="1" x14ac:dyDescent="0.25">
      <c r="B40" s="3" t="s">
        <v>29</v>
      </c>
      <c r="C40" s="4" t="s">
        <v>25</v>
      </c>
      <c r="D40" s="5">
        <v>100</v>
      </c>
      <c r="E40" s="6">
        <v>0.755</v>
      </c>
      <c r="F40" s="6">
        <v>0.70740000000000003</v>
      </c>
      <c r="G40" s="6">
        <v>0.91810000000000003</v>
      </c>
      <c r="H40" s="6">
        <v>0.71919999999999995</v>
      </c>
      <c r="I40" s="6">
        <v>0.81210000000000004</v>
      </c>
      <c r="J40" s="7">
        <f t="shared" ref="J40:J49" si="3">AVERAGE(E40:I40)</f>
        <v>0.78235999999999994</v>
      </c>
    </row>
    <row r="41" spans="2:10" ht="18" customHeight="1" x14ac:dyDescent="0.25">
      <c r="B41" s="3" t="s">
        <v>29</v>
      </c>
      <c r="C41" s="4" t="s">
        <v>25</v>
      </c>
      <c r="D41" s="5">
        <v>500</v>
      </c>
      <c r="E41" s="6">
        <v>2.6562999999999999</v>
      </c>
      <c r="F41" s="6">
        <v>3.7433000000000001</v>
      </c>
      <c r="G41" s="6">
        <v>2.6027999999999998</v>
      </c>
      <c r="H41" s="6">
        <v>2.7061000000000002</v>
      </c>
      <c r="I41" s="6">
        <v>2.5609999999999999</v>
      </c>
      <c r="J41" s="7">
        <f t="shared" si="3"/>
        <v>2.8539000000000003</v>
      </c>
    </row>
    <row r="42" spans="2:10" ht="18" customHeight="1" x14ac:dyDescent="0.25">
      <c r="B42" s="3" t="s">
        <v>29</v>
      </c>
      <c r="C42" s="4" t="s">
        <v>25</v>
      </c>
      <c r="D42" s="5">
        <v>1000</v>
      </c>
      <c r="E42" s="6">
        <v>2.6410999999999998</v>
      </c>
      <c r="F42" s="6">
        <v>1.4109</v>
      </c>
      <c r="G42" s="6">
        <v>1.4717</v>
      </c>
      <c r="H42" s="6">
        <v>1.5482</v>
      </c>
      <c r="I42" s="6">
        <v>2.6638000000000002</v>
      </c>
      <c r="J42" s="7">
        <f t="shared" si="3"/>
        <v>1.9471399999999999</v>
      </c>
    </row>
    <row r="43" spans="2:10" ht="18" customHeight="1" x14ac:dyDescent="0.25">
      <c r="B43" s="3" t="s">
        <v>29</v>
      </c>
      <c r="C43" s="4" t="s">
        <v>25</v>
      </c>
      <c r="D43" s="5">
        <v>5000</v>
      </c>
      <c r="E43" s="6">
        <v>29.296900000000001</v>
      </c>
      <c r="F43" s="6">
        <v>33.933799999999998</v>
      </c>
      <c r="G43" s="6">
        <v>36.894799999999996</v>
      </c>
      <c r="H43" s="6">
        <v>35.802700000000002</v>
      </c>
      <c r="I43" s="6">
        <v>31.8398</v>
      </c>
      <c r="J43" s="7">
        <f t="shared" si="3"/>
        <v>33.553600000000003</v>
      </c>
    </row>
    <row r="44" spans="2:10" ht="18" customHeight="1" x14ac:dyDescent="0.25">
      <c r="B44" s="3" t="s">
        <v>29</v>
      </c>
      <c r="C44" s="4" t="s">
        <v>25</v>
      </c>
      <c r="D44" s="5">
        <v>10000</v>
      </c>
      <c r="E44" s="6">
        <v>129.4178</v>
      </c>
      <c r="F44" s="6">
        <v>129.1782</v>
      </c>
      <c r="G44" s="6">
        <v>129.6985</v>
      </c>
      <c r="H44" s="6">
        <v>136.5942</v>
      </c>
      <c r="I44" s="6">
        <v>136.52199999999999</v>
      </c>
      <c r="J44" s="7">
        <f t="shared" si="3"/>
        <v>132.28213999999997</v>
      </c>
    </row>
    <row r="45" spans="2:10" ht="18" customHeight="1" x14ac:dyDescent="0.25">
      <c r="B45" s="8" t="s">
        <v>29</v>
      </c>
      <c r="C45" s="9" t="s">
        <v>26</v>
      </c>
      <c r="D45" s="10">
        <v>100</v>
      </c>
      <c r="E45" s="6">
        <v>0.43759999999999999</v>
      </c>
      <c r="F45" s="6">
        <v>0.38679999999999998</v>
      </c>
      <c r="G45" s="6">
        <v>0.1741</v>
      </c>
      <c r="H45" s="6">
        <v>0.1552</v>
      </c>
      <c r="I45" s="6">
        <v>0.15479999999999999</v>
      </c>
      <c r="J45" s="7">
        <f t="shared" si="3"/>
        <v>0.26170000000000004</v>
      </c>
    </row>
    <row r="46" spans="2:10" ht="18" customHeight="1" x14ac:dyDescent="0.25">
      <c r="B46" s="8" t="s">
        <v>29</v>
      </c>
      <c r="C46" s="9" t="s">
        <v>26</v>
      </c>
      <c r="D46" s="10">
        <v>500</v>
      </c>
      <c r="E46" s="6">
        <v>1.5326</v>
      </c>
      <c r="F46" s="6">
        <v>1.2479</v>
      </c>
      <c r="G46" s="6">
        <v>1.2471000000000001</v>
      </c>
      <c r="H46" s="6">
        <v>1.0121</v>
      </c>
      <c r="I46" s="6">
        <v>1.0147999999999999</v>
      </c>
      <c r="J46" s="7">
        <f t="shared" si="3"/>
        <v>1.2109000000000001</v>
      </c>
    </row>
    <row r="47" spans="2:10" ht="18" customHeight="1" x14ac:dyDescent="0.25">
      <c r="B47" s="8" t="s">
        <v>29</v>
      </c>
      <c r="C47" s="9" t="s">
        <v>26</v>
      </c>
      <c r="D47" s="10">
        <v>1000</v>
      </c>
      <c r="E47" s="6">
        <v>6.3521000000000001</v>
      </c>
      <c r="F47" s="6">
        <v>3.5194999999999999</v>
      </c>
      <c r="G47" s="6">
        <v>2.5407999999999999</v>
      </c>
      <c r="H47" s="6">
        <v>3.6099000000000001</v>
      </c>
      <c r="I47" s="6">
        <v>3.4590000000000001</v>
      </c>
      <c r="J47" s="7">
        <f t="shared" si="3"/>
        <v>3.8962600000000003</v>
      </c>
    </row>
    <row r="48" spans="2:10" ht="18" customHeight="1" x14ac:dyDescent="0.25">
      <c r="B48" s="8" t="s">
        <v>29</v>
      </c>
      <c r="C48" s="9" t="s">
        <v>26</v>
      </c>
      <c r="D48" s="10">
        <v>5000</v>
      </c>
      <c r="E48" s="6">
        <v>74.700900000000004</v>
      </c>
      <c r="F48" s="6">
        <v>58.828299999999999</v>
      </c>
      <c r="G48" s="6">
        <v>51.384</v>
      </c>
      <c r="H48" s="6">
        <v>60.2684</v>
      </c>
      <c r="I48" s="6">
        <v>49.868499999999997</v>
      </c>
      <c r="J48" s="7">
        <f t="shared" si="3"/>
        <v>59.010019999999997</v>
      </c>
    </row>
    <row r="49" spans="2:10" ht="18" customHeight="1" x14ac:dyDescent="0.25">
      <c r="B49" s="8" t="s">
        <v>29</v>
      </c>
      <c r="C49" s="9" t="s">
        <v>26</v>
      </c>
      <c r="D49" s="10">
        <v>10000</v>
      </c>
      <c r="E49" s="6">
        <v>134.4186</v>
      </c>
      <c r="F49" s="6">
        <v>129.97649999999999</v>
      </c>
      <c r="G49" s="6">
        <v>130.2533</v>
      </c>
      <c r="H49" s="6">
        <v>134.05619999999999</v>
      </c>
      <c r="I49" s="6">
        <v>136.1789</v>
      </c>
      <c r="J49" s="7">
        <f t="shared" si="3"/>
        <v>132.97669999999999</v>
      </c>
    </row>
    <row r="52" spans="2:10" x14ac:dyDescent="0.25">
      <c r="B52" s="32" t="s">
        <v>30</v>
      </c>
      <c r="C52" s="32"/>
      <c r="D52" s="32"/>
      <c r="E52" s="32"/>
      <c r="F52" s="32"/>
      <c r="G52" s="32"/>
      <c r="H52" s="32"/>
      <c r="I52" s="32"/>
      <c r="J52" s="32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1" t="s">
        <v>31</v>
      </c>
      <c r="C1" s="31"/>
      <c r="D1" s="31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5</v>
      </c>
      <c r="C5" s="13">
        <f>AVERAGEIFS('1. Datos_Crudos'!$J:$J,'1. Datos_Crudos'!$B:$B,"A1 - Factorial",'1. Datos_Crudos'!$C:$C,"Iterativo",'1. Datos_Crudos'!$D:$D,B5)</f>
        <v>0.54268000000000005</v>
      </c>
      <c r="D5" s="14">
        <f>AVERAGEIFS('1. Datos_Crudos'!$J:$J,'1. Datos_Crudos'!$B:$B,"A1 - Factorial",'1. Datos_Crudos'!$C:$C,"Recursivo",'1. Datos_Crudos'!$D:$D,B5)</f>
        <v>7.3399999999999993E-3</v>
      </c>
    </row>
    <row r="6" spans="2:4" ht="19.5" customHeight="1" x14ac:dyDescent="0.25">
      <c r="B6" s="15">
        <v>10</v>
      </c>
      <c r="C6" s="16">
        <f>AVERAGEIFS('1. Datos_Crudos'!$J:$J,'1. Datos_Crudos'!$B:$B,"A1 - Factorial",'1. Datos_Crudos'!$C:$C,"Iterativo",'1. Datos_Crudos'!$D:$D,B6)</f>
        <v>1.5399999999999999E-3</v>
      </c>
      <c r="D6" s="17">
        <f>AVERAGEIFS('1. Datos_Crudos'!$J:$J,'1. Datos_Crudos'!$B:$B,"A1 - Factorial",'1. Datos_Crudos'!$C:$C,"Recursivo",'1. Datos_Crudos'!$D:$D,B6)</f>
        <v>1.6799999999999999E-3</v>
      </c>
    </row>
    <row r="7" spans="2:4" ht="19.5" customHeight="1" x14ac:dyDescent="0.25">
      <c r="B7" s="12">
        <v>15</v>
      </c>
      <c r="C7" s="13">
        <f>AVERAGEIFS('1. Datos_Crudos'!$J:$J,'1. Datos_Crudos'!$B:$B,"A1 - Factorial",'1. Datos_Crudos'!$C:$C,"Iterativo",'1. Datos_Crudos'!$D:$D,B7)</f>
        <v>1.7000000000000001E-3</v>
      </c>
      <c r="D7" s="14">
        <f>AVERAGEIFS('1. Datos_Crudos'!$J:$J,'1. Datos_Crudos'!$B:$B,"A1 - Factorial",'1. Datos_Crudos'!$C:$C,"Recursivo",'1. Datos_Crudos'!$D:$D,B7)</f>
        <v>1.72E-3</v>
      </c>
    </row>
    <row r="8" spans="2:4" ht="19.5" customHeight="1" x14ac:dyDescent="0.25">
      <c r="B8" s="15">
        <v>20</v>
      </c>
      <c r="C8" s="16">
        <f>AVERAGEIFS('1. Datos_Crudos'!$J:$J,'1. Datos_Crudos'!$B:$B,"A1 - Factorial",'1. Datos_Crudos'!$C:$C,"Iterativo",'1. Datos_Crudos'!$D:$D,B8)</f>
        <v>5.8200000000000005E-3</v>
      </c>
      <c r="D8" s="17">
        <f>AVERAGEIFS('1. Datos_Crudos'!$J:$J,'1. Datos_Crudos'!$B:$B,"A1 - Factorial",'1. Datos_Crudos'!$C:$C,"Recursivo",'1. Datos_Crudos'!$D:$D,B8)</f>
        <v>1.7600000000000001E-3</v>
      </c>
    </row>
    <row r="9" spans="2:4" ht="19.5" customHeight="1" x14ac:dyDescent="0.25">
      <c r="B9" s="12">
        <v>25</v>
      </c>
      <c r="C9" s="13">
        <f>AVERAGEIFS('1. Datos_Crudos'!$J:$J,'1. Datos_Crudos'!$B:$B,"A1 - Factorial",'1. Datos_Crudos'!$C:$C,"Iterativo",'1. Datos_Crudos'!$D:$D,B9)</f>
        <v>1.9400000000000001E-3</v>
      </c>
      <c r="D9" s="14">
        <f>AVERAGEIFS('1. Datos_Crudos'!$J:$J,'1. Datos_Crudos'!$B:$B,"A1 - Factorial",'1. Datos_Crudos'!$C:$C,"Recursivo",'1. Datos_Crudos'!$D:$D,B9)</f>
        <v>3.1200000000000004E-3</v>
      </c>
    </row>
    <row r="10" spans="2:4" ht="19.5" customHeight="1" x14ac:dyDescent="0.25">
      <c r="B10" s="15">
        <v>30</v>
      </c>
      <c r="C10" s="16">
        <f>AVERAGEIFS('1. Datos_Crudos'!$J:$J,'1. Datos_Crudos'!$B:$B,"A1 - Factorial",'1. Datos_Crudos'!$C:$C,"Iterativo",'1. Datos_Crudos'!$D:$D,B10)</f>
        <v>1.8599999999999999E-3</v>
      </c>
      <c r="D10" s="17">
        <f>AVERAGEIFS('1. Datos_Crudos'!$J:$J,'1. Datos_Crudos'!$B:$B,"A1 - Factorial",'1. Datos_Crudos'!$C:$C,"Recursivo",'1. Datos_Crudos'!$D:$D,B10)</f>
        <v>2.0799999999999998E-3</v>
      </c>
    </row>
    <row r="12" spans="2:4" ht="39.75" customHeight="1" x14ac:dyDescent="0.25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1" t="s">
        <v>38</v>
      </c>
      <c r="C1" s="31"/>
      <c r="D1" s="31"/>
    </row>
    <row r="2" spans="2:4" ht="21.75" customHeight="1" x14ac:dyDescent="0.25">
      <c r="B2" s="3" t="s">
        <v>32</v>
      </c>
      <c r="C2" s="11" t="s">
        <v>33</v>
      </c>
      <c r="D2" s="18" t="s">
        <v>39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40</v>
      </c>
    </row>
    <row r="5" spans="2:4" ht="19.5" customHeight="1" x14ac:dyDescent="0.25">
      <c r="B5" s="12">
        <v>5</v>
      </c>
      <c r="C5" s="13">
        <f>AVERAGEIFS('1. Datos_Crudos'!$J:$J,'1. Datos_Crudos'!$B:$B,"A2 - Fibonacci",'1. Datos_Crudos'!$C:$C,"Iterativo",'1. Datos_Crudos'!$D:$D,B5)</f>
        <v>0.74132000000000009</v>
      </c>
      <c r="D5" s="19">
        <f>AVERAGEIFS('1. Datos_Crudos'!$J:$J,'1. Datos_Crudos'!$B:$B,"A2 - Fibonacci",'1. Datos_Crudos'!$C:$C,"Recursivo",'1. Datos_Crudos'!$D:$D,B5)</f>
        <v>4.8800000000000007E-3</v>
      </c>
    </row>
    <row r="6" spans="2:4" ht="19.5" customHeight="1" x14ac:dyDescent="0.25">
      <c r="B6" s="15">
        <v>10</v>
      </c>
      <c r="C6" s="16">
        <f>AVERAGEIFS('1. Datos_Crudos'!$J:$J,'1. Datos_Crudos'!$B:$B,"A2 - Fibonacci",'1. Datos_Crudos'!$C:$C,"Iterativo",'1. Datos_Crudos'!$D:$D,B6)</f>
        <v>1.5E-3</v>
      </c>
      <c r="D6" s="20">
        <f>AVERAGEIFS('1. Datos_Crudos'!$J:$J,'1. Datos_Crudos'!$B:$B,"A2 - Fibonacci",'1. Datos_Crudos'!$C:$C,"Recursivo",'1. Datos_Crudos'!$D:$D,B6)</f>
        <v>1.1299999999999999E-2</v>
      </c>
    </row>
    <row r="7" spans="2:4" ht="19.5" customHeight="1" x14ac:dyDescent="0.25">
      <c r="B7" s="12">
        <v>15</v>
      </c>
      <c r="C7" s="13">
        <f>AVERAGEIFS('1. Datos_Crudos'!$J:$J,'1. Datos_Crudos'!$B:$B,"A2 - Fibonacci",'1. Datos_Crudos'!$C:$C,"Iterativo",'1. Datos_Crudos'!$D:$D,B7)</f>
        <v>1.7000000000000001E-3</v>
      </c>
      <c r="D7" s="19">
        <f>AVERAGEIFS('1. Datos_Crudos'!$J:$J,'1. Datos_Crudos'!$B:$B,"A2 - Fibonacci",'1. Datos_Crudos'!$C:$C,"Recursivo",'1. Datos_Crudos'!$D:$D,B7)</f>
        <v>0.24626000000000001</v>
      </c>
    </row>
    <row r="8" spans="2:4" ht="19.5" customHeight="1" x14ac:dyDescent="0.25">
      <c r="B8" s="15">
        <v>20</v>
      </c>
      <c r="C8" s="16">
        <f>AVERAGEIFS('1. Datos_Crudos'!$J:$J,'1. Datos_Crudos'!$B:$B,"A2 - Fibonacci",'1. Datos_Crudos'!$C:$C,"Iterativo",'1. Datos_Crudos'!$D:$D,B8)</f>
        <v>1.7799999999999999E-3</v>
      </c>
      <c r="D8" s="20">
        <f>AVERAGEIFS('1. Datos_Crudos'!$J:$J,'1. Datos_Crudos'!$B:$B,"A2 - Fibonacci",'1. Datos_Crudos'!$C:$C,"Recursivo",'1. Datos_Crudos'!$D:$D,B8)</f>
        <v>0.16481999999999999</v>
      </c>
    </row>
    <row r="9" spans="2:4" ht="19.5" customHeight="1" x14ac:dyDescent="0.25">
      <c r="B9" s="12">
        <v>25</v>
      </c>
      <c r="C9" s="13">
        <f>AVERAGEIFS('1. Datos_Crudos'!$J:$J,'1. Datos_Crudos'!$B:$B,"A2 - Fibonacci",'1. Datos_Crudos'!$C:$C,"Iterativo",'1. Datos_Crudos'!$D:$D,B9)</f>
        <v>1.7399999999999998E-3</v>
      </c>
      <c r="D9" s="19">
        <f>AVERAGEIFS('1. Datos_Crudos'!$J:$J,'1. Datos_Crudos'!$B:$B,"A2 - Fibonacci",'1. Datos_Crudos'!$C:$C,"Recursivo",'1. Datos_Crudos'!$D:$D,B9)</f>
        <v>0.44939999999999997</v>
      </c>
    </row>
    <row r="10" spans="2:4" ht="19.5" customHeight="1" x14ac:dyDescent="0.25">
      <c r="B10" s="15">
        <v>30</v>
      </c>
      <c r="C10" s="16">
        <f>AVERAGEIFS('1. Datos_Crudos'!$J:$J,'1. Datos_Crudos'!$B:$B,"A2 - Fibonacci",'1. Datos_Crudos'!$C:$C,"Iterativo",'1. Datos_Crudos'!$D:$D,B10)</f>
        <v>2.1000000000000003E-3</v>
      </c>
      <c r="D10" s="20">
        <f>AVERAGEIFS('1. Datos_Crudos'!$J:$J,'1. Datos_Crudos'!$B:$B,"A2 - Fibonacci",'1. Datos_Crudos'!$C:$C,"Recursivo",'1. Datos_Crudos'!$D:$D,B10)</f>
        <v>4.6185400000000003</v>
      </c>
    </row>
    <row r="12" spans="2:4" ht="39.75" customHeight="1" x14ac:dyDescent="0.25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1" t="s">
        <v>42</v>
      </c>
      <c r="C1" s="31"/>
      <c r="D1" s="31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100</v>
      </c>
      <c r="C5" s="13">
        <f>AVERAGEIFS('1. Datos_Crudos'!$J:$J,'1. Datos_Crudos'!$B:$B,"A3 - Busqueda Lineal",'1. Datos_Crudos'!$C:$C,"Iterativo",'1. Datos_Crudos'!$D:$D,B5)</f>
        <v>0.68946000000000007</v>
      </c>
      <c r="D5" s="14">
        <f>AVERAGEIFS('1. Datos_Crudos'!$J:$J,'1. Datos_Crudos'!$B:$B,"A3 - Busqueda Lineal",'1. Datos_Crudos'!$C:$C,"Recursivo",'1. Datos_Crudos'!$D:$D,B5)</f>
        <v>8.0400000000000003E-3</v>
      </c>
    </row>
    <row r="6" spans="2:4" ht="19.5" customHeight="1" x14ac:dyDescent="0.25">
      <c r="B6" s="15">
        <v>500</v>
      </c>
      <c r="C6" s="16">
        <f>AVERAGEIFS('1. Datos_Crudos'!$J:$J,'1. Datos_Crudos'!$B:$B,"A3 - Busqueda Lineal",'1. Datos_Crudos'!$C:$C,"Iterativo",'1. Datos_Crudos'!$D:$D,B6)</f>
        <v>7.9399999999999991E-3</v>
      </c>
      <c r="D6" s="17">
        <f>AVERAGEIFS('1. Datos_Crudos'!$J:$J,'1. Datos_Crudos'!$B:$B,"A3 - Busqueda Lineal",'1. Datos_Crudos'!$C:$C,"Recursivo",'1. Datos_Crudos'!$D:$D,B6)</f>
        <v>0.16763999999999998</v>
      </c>
    </row>
    <row r="7" spans="2:4" ht="19.5" customHeight="1" x14ac:dyDescent="0.25">
      <c r="B7" s="12">
        <v>1000</v>
      </c>
      <c r="C7" s="13">
        <f>AVERAGEIFS('1. Datos_Crudos'!$J:$J,'1. Datos_Crudos'!$B:$B,"A3 - Busqueda Lineal",'1. Datos_Crudos'!$C:$C,"Iterativo",'1. Datos_Crudos'!$D:$D,B7)</f>
        <v>1.4500000000000002E-2</v>
      </c>
      <c r="D7" s="14">
        <f>AVERAGEIFS('1. Datos_Crudos'!$J:$J,'1. Datos_Crudos'!$B:$B,"A3 - Busqueda Lineal",'1. Datos_Crudos'!$C:$C,"Recursivo",'1. Datos_Crudos'!$D:$D,B7)</f>
        <v>7.4899999999999994E-2</v>
      </c>
    </row>
    <row r="8" spans="2:4" ht="19.5" customHeight="1" x14ac:dyDescent="0.25">
      <c r="B8" s="15">
        <v>5000</v>
      </c>
      <c r="C8" s="16">
        <f>AVERAGEIFS('1. Datos_Crudos'!$J:$J,'1. Datos_Crudos'!$B:$B,"A3 - Busqueda Lineal",'1. Datos_Crudos'!$C:$C,"Iterativo",'1. Datos_Crudos'!$D:$D,B8)</f>
        <v>1.2559999999999998E-2</v>
      </c>
      <c r="D8" s="17">
        <f>AVERAGEIFS('1. Datos_Crudos'!$J:$J,'1. Datos_Crudos'!$B:$B,"A3 - Busqueda Lineal",'1. Datos_Crudos'!$C:$C,"Recursivo",'1. Datos_Crudos'!$D:$D,B8)</f>
        <v>5.058E-2</v>
      </c>
    </row>
    <row r="9" spans="2:4" ht="19.5" customHeight="1" x14ac:dyDescent="0.25">
      <c r="B9" s="12">
        <v>10000</v>
      </c>
      <c r="C9" s="13">
        <f>AVERAGEIFS('1. Datos_Crudos'!$J:$J,'1. Datos_Crudos'!$B:$B,"A3 - Busqueda Lineal",'1. Datos_Crudos'!$C:$C,"Iterativo",'1. Datos_Crudos'!$D:$D,B9)</f>
        <v>7.4980000000000005E-2</v>
      </c>
      <c r="D9" s="14">
        <f>AVERAGEIFS('1. Datos_Crudos'!$J:$J,'1. Datos_Crudos'!$B:$B,"A3 - Busqueda Lineal",'1. Datos_Crudos'!$C:$C,"Recursivo",'1. Datos_Crudos'!$D:$D,B9)</f>
        <v>0.1113</v>
      </c>
    </row>
    <row r="11" spans="2:4" ht="39.75" customHeight="1" x14ac:dyDescent="0.25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1" t="s">
        <v>44</v>
      </c>
      <c r="C1" s="31"/>
      <c r="D1" s="31"/>
    </row>
    <row r="2" spans="2:4" ht="21.75" customHeight="1" x14ac:dyDescent="0.25">
      <c r="B2" s="3" t="s">
        <v>32</v>
      </c>
      <c r="C2" s="11" t="s">
        <v>45</v>
      </c>
      <c r="D2" s="11" t="s">
        <v>46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47</v>
      </c>
      <c r="D4" s="2" t="s">
        <v>48</v>
      </c>
    </row>
    <row r="5" spans="2:4" ht="19.5" customHeight="1" x14ac:dyDescent="0.25">
      <c r="B5" s="12">
        <v>100</v>
      </c>
      <c r="C5" s="13">
        <f>AVERAGEIFS('1. Datos_Crudos'!$J:$J,'1. Datos_Crudos'!$B:$B,"A4 - Burbuja",'1. Datos_Crudos'!$C:$C,"Iterativo",'1. Datos_Crudos'!$D:$D,B5)</f>
        <v>0.78235999999999994</v>
      </c>
      <c r="D5" s="14">
        <f>AVERAGEIFS('1. Datos_Crudos'!$J:$J,'1. Datos_Crudos'!$B:$B,"A4 - Burbuja",'1. Datos_Crudos'!$C:$C,"Recursivo",'1. Datos_Crudos'!$D:$D,B5)</f>
        <v>0.26170000000000004</v>
      </c>
    </row>
    <row r="6" spans="2:4" ht="19.5" customHeight="1" x14ac:dyDescent="0.25">
      <c r="B6" s="15">
        <v>500</v>
      </c>
      <c r="C6" s="16">
        <f>AVERAGEIFS('1. Datos_Crudos'!$J:$J,'1. Datos_Crudos'!$B:$B,"A4 - Burbuja",'1. Datos_Crudos'!$C:$C,"Iterativo",'1. Datos_Crudos'!$D:$D,B6)</f>
        <v>2.8539000000000003</v>
      </c>
      <c r="D6" s="17">
        <f>AVERAGEIFS('1. Datos_Crudos'!$J:$J,'1. Datos_Crudos'!$B:$B,"A4 - Burbuja",'1. Datos_Crudos'!$C:$C,"Recursivo",'1. Datos_Crudos'!$D:$D,B6)</f>
        <v>1.2109000000000001</v>
      </c>
    </row>
    <row r="7" spans="2:4" ht="19.5" customHeight="1" x14ac:dyDescent="0.25">
      <c r="B7" s="12">
        <v>1000</v>
      </c>
      <c r="C7" s="13">
        <f>AVERAGEIFS('1. Datos_Crudos'!$J:$J,'1. Datos_Crudos'!$B:$B,"A4 - Burbuja",'1. Datos_Crudos'!$C:$C,"Iterativo",'1. Datos_Crudos'!$D:$D,B7)</f>
        <v>1.9471399999999999</v>
      </c>
      <c r="D7" s="14">
        <f>AVERAGEIFS('1. Datos_Crudos'!$J:$J,'1. Datos_Crudos'!$B:$B,"A4 - Burbuja",'1. Datos_Crudos'!$C:$C,"Recursivo",'1. Datos_Crudos'!$D:$D,B7)</f>
        <v>3.8962600000000003</v>
      </c>
    </row>
    <row r="8" spans="2:4" ht="19.5" customHeight="1" x14ac:dyDescent="0.25">
      <c r="B8" s="15">
        <v>5000</v>
      </c>
      <c r="C8" s="16">
        <f>AVERAGEIFS('1. Datos_Crudos'!$J:$J,'1. Datos_Crudos'!$B:$B,"A4 - Burbuja",'1. Datos_Crudos'!$C:$C,"Iterativo",'1. Datos_Crudos'!$D:$D,B8)</f>
        <v>33.553600000000003</v>
      </c>
      <c r="D8" s="17">
        <f>AVERAGEIFS('1. Datos_Crudos'!$J:$J,'1. Datos_Crudos'!$B:$B,"A4 - Burbuja",'1. Datos_Crudos'!$C:$C,"Recursivo",'1. Datos_Crudos'!$D:$D,B8)</f>
        <v>59.010019999999997</v>
      </c>
    </row>
    <row r="9" spans="2:4" ht="19.5" customHeight="1" x14ac:dyDescent="0.25">
      <c r="B9" s="12">
        <v>10000</v>
      </c>
      <c r="C9" s="13">
        <f>AVERAGEIFS('1. Datos_Crudos'!$J:$J,'1. Datos_Crudos'!$B:$B,"A4 - Burbuja",'1. Datos_Crudos'!$C:$C,"Iterativo",'1. Datos_Crudos'!$D:$D,B9)</f>
        <v>132.28213999999997</v>
      </c>
      <c r="D9" s="14">
        <f>AVERAGEIFS('1. Datos_Crudos'!$J:$J,'1. Datos_Crudos'!$B:$B,"A4 - Burbuja",'1. Datos_Crudos'!$C:$C,"Recursivo",'1. Datos_Crudos'!$D:$D,B9)</f>
        <v>132.97669999999999</v>
      </c>
    </row>
    <row r="11" spans="2:4" ht="39.75" customHeight="1" x14ac:dyDescent="0.25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tabSelected="1" zoomScaleNormal="100" workbookViewId="0">
      <selection activeCell="D5" sqref="D5"/>
    </sheetView>
  </sheetViews>
  <sheetFormatPr baseColWidth="10" defaultColWidth="8.7109375" defaultRowHeight="15" customHeight="1" x14ac:dyDescent="0.25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25">
      <c r="B1" s="31" t="s">
        <v>50</v>
      </c>
      <c r="C1" s="31"/>
      <c r="D1" s="31"/>
      <c r="E1" s="31"/>
      <c r="F1" s="31"/>
      <c r="G1" s="31"/>
    </row>
    <row r="2" spans="2:7" ht="9.75" customHeight="1" x14ac:dyDescent="0.25"/>
    <row r="3" spans="2:7" ht="30" customHeight="1" x14ac:dyDescent="0.25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25">
      <c r="B4" s="23" t="s">
        <v>24</v>
      </c>
      <c r="C4" s="24" t="s">
        <v>25</v>
      </c>
      <c r="D4" s="25" t="s">
        <v>33</v>
      </c>
      <c r="E4" s="23" t="s">
        <v>33</v>
      </c>
      <c r="F4" s="26" t="s">
        <v>56</v>
      </c>
      <c r="G4" s="27"/>
    </row>
    <row r="5" spans="2:7" ht="21.75" customHeight="1" x14ac:dyDescent="0.25">
      <c r="B5" s="28" t="s">
        <v>24</v>
      </c>
      <c r="C5" s="29" t="s">
        <v>26</v>
      </c>
      <c r="D5" s="25" t="s">
        <v>55</v>
      </c>
      <c r="E5" s="28" t="s">
        <v>33</v>
      </c>
      <c r="F5" s="26" t="s">
        <v>56</v>
      </c>
      <c r="G5" s="27"/>
    </row>
    <row r="6" spans="2:7" ht="21.75" customHeight="1" x14ac:dyDescent="0.25">
      <c r="B6" s="23" t="s">
        <v>27</v>
      </c>
      <c r="C6" s="24" t="s">
        <v>25</v>
      </c>
      <c r="D6" s="25" t="s">
        <v>55</v>
      </c>
      <c r="E6" s="23" t="s">
        <v>33</v>
      </c>
      <c r="F6" s="26" t="s">
        <v>56</v>
      </c>
      <c r="G6" s="27"/>
    </row>
    <row r="7" spans="2:7" ht="21.75" customHeight="1" x14ac:dyDescent="0.25">
      <c r="B7" s="28" t="s">
        <v>27</v>
      </c>
      <c r="C7" s="29" t="s">
        <v>26</v>
      </c>
      <c r="D7" s="25" t="s">
        <v>55</v>
      </c>
      <c r="E7" s="28" t="s">
        <v>57</v>
      </c>
      <c r="F7" s="26" t="s">
        <v>56</v>
      </c>
      <c r="G7" s="27"/>
    </row>
    <row r="8" spans="2:7" ht="21.75" customHeight="1" x14ac:dyDescent="0.25">
      <c r="B8" s="23" t="s">
        <v>28</v>
      </c>
      <c r="C8" s="24" t="s">
        <v>25</v>
      </c>
      <c r="D8" s="25" t="s">
        <v>55</v>
      </c>
      <c r="E8" s="23" t="s">
        <v>33</v>
      </c>
      <c r="F8" s="26" t="s">
        <v>56</v>
      </c>
      <c r="G8" s="27"/>
    </row>
    <row r="9" spans="2:7" ht="21.75" customHeight="1" x14ac:dyDescent="0.25">
      <c r="B9" s="28" t="s">
        <v>28</v>
      </c>
      <c r="C9" s="29" t="s">
        <v>26</v>
      </c>
      <c r="D9" s="25" t="s">
        <v>55</v>
      </c>
      <c r="E9" s="28" t="s">
        <v>33</v>
      </c>
      <c r="F9" s="26" t="s">
        <v>56</v>
      </c>
      <c r="G9" s="27"/>
    </row>
    <row r="10" spans="2:7" ht="21.75" customHeight="1" x14ac:dyDescent="0.25">
      <c r="B10" s="23" t="s">
        <v>29</v>
      </c>
      <c r="C10" s="24" t="s">
        <v>25</v>
      </c>
      <c r="D10" s="25" t="s">
        <v>55</v>
      </c>
      <c r="E10" s="23" t="s">
        <v>45</v>
      </c>
      <c r="F10" s="26" t="s">
        <v>56</v>
      </c>
      <c r="G10" s="27"/>
    </row>
    <row r="11" spans="2:7" ht="21.75" customHeight="1" x14ac:dyDescent="0.25">
      <c r="B11" s="28" t="s">
        <v>29</v>
      </c>
      <c r="C11" s="29" t="s">
        <v>26</v>
      </c>
      <c r="D11" s="25" t="s">
        <v>55</v>
      </c>
      <c r="E11" s="28" t="s">
        <v>45</v>
      </c>
      <c r="F11" s="26" t="s">
        <v>56</v>
      </c>
      <c r="G11" s="27"/>
    </row>
    <row r="14" spans="2:7" ht="7.5" customHeight="1" x14ac:dyDescent="0.25"/>
    <row r="15" spans="2:7" ht="15" customHeight="1" x14ac:dyDescent="0.25">
      <c r="B15" s="42" t="s">
        <v>58</v>
      </c>
      <c r="C15" s="42"/>
      <c r="D15" s="42"/>
      <c r="E15" s="42"/>
      <c r="F15" s="42"/>
      <c r="G15" s="42"/>
    </row>
    <row r="16" spans="2:7" ht="19.5" customHeight="1" x14ac:dyDescent="0.25">
      <c r="B16" s="3" t="s">
        <v>59</v>
      </c>
      <c r="C16" s="43" t="s">
        <v>60</v>
      </c>
      <c r="D16" s="43"/>
      <c r="E16" s="43"/>
      <c r="F16" s="43"/>
      <c r="G16" s="43"/>
    </row>
    <row r="17" spans="2:7" ht="19.5" customHeight="1" x14ac:dyDescent="0.25">
      <c r="B17" s="8" t="s">
        <v>61</v>
      </c>
      <c r="C17" s="44" t="s">
        <v>62</v>
      </c>
      <c r="D17" s="44"/>
      <c r="E17" s="44"/>
      <c r="F17" s="44"/>
      <c r="G17" s="44"/>
    </row>
    <row r="18" spans="2:7" ht="19.5" customHeight="1" x14ac:dyDescent="0.25">
      <c r="B18" s="3" t="s">
        <v>63</v>
      </c>
      <c r="C18" s="43" t="s">
        <v>64</v>
      </c>
      <c r="D18" s="43"/>
      <c r="E18" s="43"/>
      <c r="F18" s="43"/>
      <c r="G18" s="43"/>
    </row>
    <row r="19" spans="2:7" ht="19.5" customHeight="1" x14ac:dyDescent="0.25">
      <c r="B19" s="30" t="s">
        <v>65</v>
      </c>
      <c r="C19" s="41" t="s">
        <v>66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BA017F1189BD4F8407CB150317BB41" ma:contentTypeVersion="10" ma:contentTypeDescription="Crear nuevo documento." ma:contentTypeScope="" ma:versionID="f6119ea86fa9eb504e6699c38dd788f0">
  <xsd:schema xmlns:xsd="http://www.w3.org/2001/XMLSchema" xmlns:xs="http://www.w3.org/2001/XMLSchema" xmlns:p="http://schemas.microsoft.com/office/2006/metadata/properties" xmlns:ns3="9e45e6f4-5896-4a39-999a-6736f4d9aa70" targetNamespace="http://schemas.microsoft.com/office/2006/metadata/properties" ma:root="true" ma:fieldsID="cb356a51809f6c311b8e52a004462b88" ns3:_="">
    <xsd:import namespace="9e45e6f4-5896-4a39-999a-6736f4d9aa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45e6f4-5896-4a39-999a-6736f4d9aa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45e6f4-5896-4a39-999a-6736f4d9aa70" xsi:nil="true"/>
  </documentManagement>
</p:properties>
</file>

<file path=customXml/itemProps1.xml><?xml version="1.0" encoding="utf-8"?>
<ds:datastoreItem xmlns:ds="http://schemas.openxmlformats.org/officeDocument/2006/customXml" ds:itemID="{9B4AE165-2109-48B6-ACE8-6654A3008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932F69-0AEB-489C-AAFC-078C80959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45e6f4-5896-4a39-999a-6736f4d9aa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957AA0-EE47-4D1B-A75C-8F5AF541EAF2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e45e6f4-5896-4a39-999a-6736f4d9aa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Mejia Morente, Isaias</cp:lastModifiedBy>
  <cp:revision>1</cp:revision>
  <dcterms:created xsi:type="dcterms:W3CDTF">2026-02-20T06:55:59Z</dcterms:created>
  <dcterms:modified xsi:type="dcterms:W3CDTF">2026-02-27T07:25:36Z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0x01010048BA017F1189BD4F8407CB150317BB41</vt:lpwstr>
  </property>
</Properties>
</file>